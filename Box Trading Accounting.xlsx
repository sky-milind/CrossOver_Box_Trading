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Kapil\The Indicator CrossOver\"/>
    </mc:Choice>
  </mc:AlternateContent>
  <xr:revisionPtr revIDLastSave="0" documentId="13_ncr:1_{3BCFC6E9-35E8-473B-AB76-0A984602900D}" xr6:coauthVersionLast="47" xr6:coauthVersionMax="47" xr10:uidLastSave="{00000000-0000-0000-0000-000000000000}"/>
  <bookViews>
    <workbookView xWindow="-108" yWindow="-108" windowWidth="23256" windowHeight="12456" xr2:uid="{C82AB1C2-930C-4754-8F9F-DC4B24F66C58}"/>
  </bookViews>
  <sheets>
    <sheet name="NFO Future" sheetId="1" r:id="rId1"/>
    <sheet name="MCX Futur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2" l="1"/>
  <c r="I18" i="2"/>
  <c r="L18" i="2" s="1"/>
  <c r="G18" i="2"/>
  <c r="K17" i="2"/>
  <c r="I17" i="2"/>
  <c r="L17" i="2" s="1"/>
  <c r="G17" i="2"/>
  <c r="K16" i="2"/>
  <c r="I16" i="2"/>
  <c r="L16" i="2" s="1"/>
  <c r="G16" i="2"/>
  <c r="K15" i="2"/>
  <c r="I15" i="2"/>
  <c r="L15" i="2" s="1"/>
  <c r="G15" i="2"/>
  <c r="K14" i="2"/>
  <c r="I14" i="2"/>
  <c r="L14" i="2" s="1"/>
  <c r="G14" i="2"/>
  <c r="K13" i="2"/>
  <c r="I13" i="2"/>
  <c r="L13" i="2" s="1"/>
  <c r="M13" i="2" s="1"/>
  <c r="G13" i="2"/>
  <c r="L8" i="2"/>
  <c r="K18" i="1"/>
  <c r="K17" i="1"/>
  <c r="K14" i="1"/>
  <c r="K15" i="1"/>
  <c r="K16" i="1"/>
  <c r="K13" i="1"/>
  <c r="G13" i="1"/>
  <c r="G18" i="1"/>
  <c r="G17" i="1"/>
  <c r="G14" i="1"/>
  <c r="G15" i="1"/>
  <c r="G16" i="1"/>
  <c r="I18" i="1"/>
  <c r="L18" i="1" s="1"/>
  <c r="I17" i="1"/>
  <c r="L17" i="1" s="1"/>
  <c r="I16" i="1"/>
  <c r="L16" i="1" s="1"/>
  <c r="I14" i="1"/>
  <c r="L14" i="1" s="1"/>
  <c r="I15" i="1"/>
  <c r="L15" i="1" s="1"/>
  <c r="I13" i="1"/>
  <c r="L13" i="1" s="1"/>
  <c r="M13" i="1" s="1"/>
  <c r="L8" i="1"/>
  <c r="M14" i="2" l="1"/>
  <c r="M15" i="2" s="1"/>
  <c r="M16" i="2" s="1"/>
  <c r="M17" i="2" s="1"/>
  <c r="M18" i="2" s="1"/>
  <c r="M14" i="1"/>
  <c r="M15" i="1" s="1"/>
  <c r="M16" i="1" s="1"/>
  <c r="M17" i="1" s="1"/>
  <c r="M18" i="1" s="1"/>
</calcChain>
</file>

<file path=xl/sharedStrings.xml><?xml version="1.0" encoding="utf-8"?>
<sst xmlns="http://schemas.openxmlformats.org/spreadsheetml/2006/main" count="59" uniqueCount="24">
  <si>
    <t>Ledger Balance</t>
  </si>
  <si>
    <t>Margin Available</t>
  </si>
  <si>
    <t>Active PnL</t>
  </si>
  <si>
    <t>M2M</t>
  </si>
  <si>
    <t>Trade No.</t>
  </si>
  <si>
    <t>Stock</t>
  </si>
  <si>
    <t>ADANIENSOL</t>
  </si>
  <si>
    <t>Signal</t>
  </si>
  <si>
    <t>BUY</t>
  </si>
  <si>
    <t>Price</t>
  </si>
  <si>
    <t>Margin</t>
  </si>
  <si>
    <t>Exit</t>
  </si>
  <si>
    <t>PnL</t>
  </si>
  <si>
    <t>Lot</t>
  </si>
  <si>
    <t>Commission</t>
  </si>
  <si>
    <t>Total PnL</t>
  </si>
  <si>
    <t>Ledger Bal</t>
  </si>
  <si>
    <t>SELL</t>
  </si>
  <si>
    <t>ABB</t>
  </si>
  <si>
    <t>BAJAJ AUTO</t>
  </si>
  <si>
    <t>Margin %</t>
  </si>
  <si>
    <t>Commission %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</si>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</sst>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6" formatCode="_ &quot;₹&quot;\ * #,##0_ ;_ &quot;₹&quot;\ * \-#,##0_ ;_ &quot;₹&quot;\ * &quot;-&quot;??_ ;_ @_ "/>
    <numFmt numFmtId="167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6" fontId="3" fillId="0" borderId="2" xfId="1" applyNumberFormat="1" applyFont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166" fontId="3" fillId="0" borderId="4" xfId="1" applyNumberFormat="1" applyFont="1" applyBorder="1" applyAlignment="1">
      <alignment horizontal="center" vertical="center"/>
    </xf>
    <xf numFmtId="166" fontId="3" fillId="0" borderId="5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7" fontId="3" fillId="2" borderId="9" xfId="2" applyNumberFormat="1" applyFont="1" applyFill="1" applyBorder="1" applyAlignment="1">
      <alignment horizontal="center" vertical="center"/>
    </xf>
    <xf numFmtId="167" fontId="3" fillId="2" borderId="10" xfId="2" applyNumberFormat="1" applyFont="1" applyFill="1" applyBorder="1" applyAlignment="1">
      <alignment horizontal="center" vertical="center"/>
    </xf>
    <xf numFmtId="10" fontId="3" fillId="2" borderId="9" xfId="2" applyNumberFormat="1" applyFont="1" applyFill="1" applyBorder="1" applyAlignment="1">
      <alignment horizontal="center" vertical="center"/>
    </xf>
    <xf numFmtId="10" fontId="3" fillId="2" borderId="10" xfId="2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6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6" fontId="2" fillId="0" borderId="17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67" fontId="3" fillId="2" borderId="21" xfId="2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0" fontId="3" fillId="2" borderId="21" xfId="2" applyNumberFormat="1" applyFont="1" applyFill="1" applyBorder="1" applyAlignment="1">
      <alignment horizontal="center" vertical="center"/>
    </xf>
    <xf numFmtId="166" fontId="2" fillId="0" borderId="23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49D3-7C53-4992-955B-2D7768686901}">
  <dimension ref="A1:M18"/>
  <sheetViews>
    <sheetView tabSelected="1" topLeftCell="A5" workbookViewId="0">
      <selection activeCell="F27" sqref="F27"/>
    </sheetView>
  </sheetViews>
  <sheetFormatPr defaultRowHeight="15.6" x14ac:dyDescent="0.3"/>
  <cols>
    <col min="1" max="1" width="10" style="1" bestFit="1" customWidth="1"/>
    <col min="2" max="2" width="14.88671875" style="1" bestFit="1" customWidth="1"/>
    <col min="3" max="4" width="8.88671875" style="1"/>
    <col min="5" max="5" width="8.77734375" style="1" bestFit="1" customWidth="1"/>
    <col min="6" max="6" width="7.77734375" style="1" bestFit="1" customWidth="1"/>
    <col min="7" max="7" width="10.33203125" style="1" bestFit="1" customWidth="1"/>
    <col min="8" max="8" width="10.109375" style="1" customWidth="1"/>
    <col min="9" max="9" width="12.6640625" style="1" customWidth="1"/>
    <col min="10" max="10" width="11.88671875" style="1" bestFit="1" customWidth="1"/>
    <col min="11" max="11" width="14.77734375" style="1" bestFit="1" customWidth="1"/>
    <col min="12" max="12" width="10.44140625" style="1" bestFit="1" customWidth="1"/>
    <col min="13" max="13" width="11.44140625" style="1" bestFit="1" customWidth="1"/>
    <col min="14" max="16384" width="8.88671875" style="1"/>
  </cols>
  <sheetData>
    <row r="1" spans="1:13" x14ac:dyDescent="0.3">
      <c r="A1" s="3" t="s">
        <v>0</v>
      </c>
      <c r="B1" s="4"/>
      <c r="C1" s="2"/>
      <c r="D1" s="2"/>
      <c r="E1"/>
      <c r="F1"/>
      <c r="G1"/>
      <c r="L1" s="3" t="s">
        <v>1</v>
      </c>
      <c r="M1" s="4"/>
    </row>
    <row r="2" spans="1:13" ht="16.2" thickBot="1" x14ac:dyDescent="0.35">
      <c r="A2" s="5"/>
      <c r="B2" s="6"/>
      <c r="C2" s="2"/>
      <c r="D2" s="2"/>
      <c r="E2"/>
      <c r="F2"/>
      <c r="G2"/>
      <c r="L2" s="5"/>
      <c r="M2" s="6"/>
    </row>
    <row r="3" spans="1:13" x14ac:dyDescent="0.3">
      <c r="A3" s="7">
        <v>17997.25</v>
      </c>
      <c r="B3" s="8"/>
      <c r="C3" s="2"/>
      <c r="D3" s="2"/>
      <c r="E3"/>
      <c r="F3"/>
      <c r="G3"/>
      <c r="L3" s="7">
        <v>17997</v>
      </c>
      <c r="M3" s="8"/>
    </row>
    <row r="4" spans="1:13" ht="16.2" thickBot="1" x14ac:dyDescent="0.35">
      <c r="A4" s="9"/>
      <c r="B4" s="10"/>
      <c r="C4" s="2"/>
      <c r="D4" s="2"/>
      <c r="E4"/>
      <c r="F4"/>
      <c r="G4"/>
      <c r="L4" s="9"/>
      <c r="M4" s="10"/>
    </row>
    <row r="5" spans="1:13" ht="16.2" thickBot="1" x14ac:dyDescent="0.35">
      <c r="A5" s="2"/>
      <c r="B5" s="2"/>
      <c r="C5" s="2"/>
      <c r="D5" s="2"/>
      <c r="E5"/>
      <c r="F5"/>
      <c r="G5"/>
      <c r="L5" s="2"/>
    </row>
    <row r="6" spans="1:13" x14ac:dyDescent="0.3">
      <c r="A6" s="3" t="s">
        <v>2</v>
      </c>
      <c r="B6" s="4"/>
      <c r="C6" s="2"/>
      <c r="D6" s="2"/>
      <c r="E6"/>
      <c r="F6"/>
      <c r="G6"/>
      <c r="L6" s="3" t="s">
        <v>3</v>
      </c>
      <c r="M6" s="4"/>
    </row>
    <row r="7" spans="1:13" ht="16.2" thickBot="1" x14ac:dyDescent="0.35">
      <c r="A7" s="5"/>
      <c r="B7" s="6"/>
      <c r="C7" s="2"/>
      <c r="D7" s="2"/>
      <c r="E7"/>
      <c r="F7"/>
      <c r="G7"/>
      <c r="L7" s="5"/>
      <c r="M7" s="6"/>
    </row>
    <row r="8" spans="1:13" x14ac:dyDescent="0.3">
      <c r="A8" s="7">
        <v>-2</v>
      </c>
      <c r="B8" s="8"/>
      <c r="C8" s="2"/>
      <c r="D8" s="2"/>
      <c r="E8"/>
      <c r="F8"/>
      <c r="G8"/>
      <c r="L8" s="7">
        <f>A3+A8</f>
        <v>17995.25</v>
      </c>
      <c r="M8" s="8"/>
    </row>
    <row r="9" spans="1:13" ht="16.2" thickBot="1" x14ac:dyDescent="0.35">
      <c r="A9" s="9"/>
      <c r="B9" s="10"/>
      <c r="C9" s="2"/>
      <c r="D9" s="2"/>
      <c r="E9"/>
      <c r="F9"/>
      <c r="G9"/>
      <c r="L9" s="9"/>
      <c r="M9" s="10"/>
    </row>
    <row r="11" spans="1:13" ht="16.2" thickBot="1" x14ac:dyDescent="0.35"/>
    <row r="12" spans="1:13" s="11" customFormat="1" ht="16.2" thickBot="1" x14ac:dyDescent="0.35">
      <c r="A12" s="33" t="s">
        <v>4</v>
      </c>
      <c r="B12" s="34" t="s">
        <v>5</v>
      </c>
      <c r="C12" s="34" t="s">
        <v>7</v>
      </c>
      <c r="D12" s="34" t="s">
        <v>13</v>
      </c>
      <c r="E12" s="34" t="s">
        <v>9</v>
      </c>
      <c r="F12" s="35" t="s">
        <v>10</v>
      </c>
      <c r="G12" s="36" t="s">
        <v>20</v>
      </c>
      <c r="H12" s="37" t="s">
        <v>11</v>
      </c>
      <c r="I12" s="34" t="s">
        <v>12</v>
      </c>
      <c r="J12" s="35" t="s">
        <v>14</v>
      </c>
      <c r="K12" s="36" t="s">
        <v>21</v>
      </c>
      <c r="L12" s="37" t="s">
        <v>15</v>
      </c>
      <c r="M12" s="38" t="s">
        <v>16</v>
      </c>
    </row>
    <row r="13" spans="1:13" x14ac:dyDescent="0.3">
      <c r="A13" s="26">
        <v>1</v>
      </c>
      <c r="B13" s="27" t="s">
        <v>6</v>
      </c>
      <c r="C13" s="27" t="s">
        <v>8</v>
      </c>
      <c r="D13" s="27">
        <v>1</v>
      </c>
      <c r="E13" s="27">
        <v>1017.65</v>
      </c>
      <c r="F13" s="28">
        <v>2</v>
      </c>
      <c r="G13" s="29">
        <f>F13/E13</f>
        <v>1.9653122389819682E-3</v>
      </c>
      <c r="H13" s="30">
        <v>1016.8</v>
      </c>
      <c r="I13" s="27">
        <f>H13-E13</f>
        <v>-0.85000000000002274</v>
      </c>
      <c r="J13" s="28">
        <v>-0.2</v>
      </c>
      <c r="K13" s="31">
        <f>J13/H13</f>
        <v>-1.9669551534225022E-4</v>
      </c>
      <c r="L13" s="30">
        <f>I13+J13</f>
        <v>-1.0500000000000227</v>
      </c>
      <c r="M13" s="32">
        <f>A3+L13</f>
        <v>17996.2</v>
      </c>
    </row>
    <row r="14" spans="1:13" x14ac:dyDescent="0.3">
      <c r="A14" s="19">
        <v>2</v>
      </c>
      <c r="B14" s="12" t="s">
        <v>6</v>
      </c>
      <c r="C14" s="12" t="s">
        <v>17</v>
      </c>
      <c r="D14" s="12">
        <v>1</v>
      </c>
      <c r="E14" s="12">
        <v>1016.55</v>
      </c>
      <c r="F14" s="13">
        <v>2</v>
      </c>
      <c r="G14" s="15">
        <f t="shared" ref="G14:G16" si="0">F14/E14</f>
        <v>1.9674388864295905E-3</v>
      </c>
      <c r="H14" s="14">
        <v>1016.25</v>
      </c>
      <c r="I14" s="12">
        <f>E14-H14</f>
        <v>0.29999999999995453</v>
      </c>
      <c r="J14" s="13">
        <v>-0.2</v>
      </c>
      <c r="K14" s="17">
        <f t="shared" ref="K14:K18" si="1">J14/H14</f>
        <v>-1.968019680196802E-4</v>
      </c>
      <c r="L14" s="14">
        <f t="shared" ref="L14:L18" si="2">I14+J14</f>
        <v>9.9999999999954514E-2</v>
      </c>
      <c r="M14" s="20">
        <f>M13+L14</f>
        <v>17996.3</v>
      </c>
    </row>
    <row r="15" spans="1:13" x14ac:dyDescent="0.3">
      <c r="A15" s="19">
        <v>3</v>
      </c>
      <c r="B15" s="12" t="s">
        <v>18</v>
      </c>
      <c r="C15" s="12" t="s">
        <v>8</v>
      </c>
      <c r="D15" s="12">
        <v>1</v>
      </c>
      <c r="E15" s="12">
        <v>5226</v>
      </c>
      <c r="F15" s="13">
        <v>10</v>
      </c>
      <c r="G15" s="15">
        <f t="shared" si="0"/>
        <v>1.9135093761959434E-3</v>
      </c>
      <c r="H15" s="14">
        <v>5219</v>
      </c>
      <c r="I15" s="12">
        <f>H15-E15</f>
        <v>-7</v>
      </c>
      <c r="J15" s="13">
        <v>-1.04</v>
      </c>
      <c r="K15" s="17">
        <f t="shared" si="1"/>
        <v>-1.9927189116689022E-4</v>
      </c>
      <c r="L15" s="14">
        <f t="shared" si="2"/>
        <v>-8.0399999999999991</v>
      </c>
      <c r="M15" s="20">
        <f>M14+L15</f>
        <v>17988.259999999998</v>
      </c>
    </row>
    <row r="16" spans="1:13" x14ac:dyDescent="0.3">
      <c r="A16" s="19">
        <v>4</v>
      </c>
      <c r="B16" s="12" t="s">
        <v>18</v>
      </c>
      <c r="C16" s="12" t="s">
        <v>17</v>
      </c>
      <c r="D16" s="12">
        <v>1</v>
      </c>
      <c r="E16" s="12">
        <v>5219</v>
      </c>
      <c r="F16" s="13">
        <v>10</v>
      </c>
      <c r="G16" s="15">
        <f t="shared" si="0"/>
        <v>1.9160758766047135E-3</v>
      </c>
      <c r="H16" s="14">
        <v>5216.5</v>
      </c>
      <c r="I16" s="12">
        <f>E16-H16</f>
        <v>2.5</v>
      </c>
      <c r="J16" s="13">
        <v>-1.04</v>
      </c>
      <c r="K16" s="17">
        <f t="shared" si="1"/>
        <v>-1.9936739192945462E-4</v>
      </c>
      <c r="L16" s="14">
        <f t="shared" si="2"/>
        <v>1.46</v>
      </c>
      <c r="M16" s="20">
        <f>M15+L16</f>
        <v>17989.719999999998</v>
      </c>
    </row>
    <row r="17" spans="1:13" x14ac:dyDescent="0.3">
      <c r="A17" s="19">
        <v>5</v>
      </c>
      <c r="B17" s="12" t="s">
        <v>19</v>
      </c>
      <c r="C17" s="12" t="s">
        <v>17</v>
      </c>
      <c r="D17" s="12">
        <v>2</v>
      </c>
      <c r="E17" s="12">
        <v>9081.5</v>
      </c>
      <c r="F17" s="13">
        <v>36</v>
      </c>
      <c r="G17" s="15">
        <f>(F17/E17)/D17</f>
        <v>1.9820514232230359E-3</v>
      </c>
      <c r="H17" s="14">
        <v>9082.5</v>
      </c>
      <c r="I17" s="12">
        <f>(E17-H17)*D17</f>
        <v>-2</v>
      </c>
      <c r="J17" s="13">
        <v>-3.64</v>
      </c>
      <c r="K17" s="17">
        <f>(J17/H17)/D17</f>
        <v>-2.0038535645472061E-4</v>
      </c>
      <c r="L17" s="14">
        <f t="shared" si="2"/>
        <v>-5.6400000000000006</v>
      </c>
      <c r="M17" s="20">
        <f>M16+L17</f>
        <v>17984.079999999998</v>
      </c>
    </row>
    <row r="18" spans="1:13" ht="16.2" thickBot="1" x14ac:dyDescent="0.35">
      <c r="A18" s="21">
        <v>6</v>
      </c>
      <c r="B18" s="22" t="s">
        <v>19</v>
      </c>
      <c r="C18" s="22" t="s">
        <v>8</v>
      </c>
      <c r="D18" s="22">
        <v>1</v>
      </c>
      <c r="E18" s="22">
        <v>9085</v>
      </c>
      <c r="F18" s="23">
        <v>18</v>
      </c>
      <c r="G18" s="16">
        <f>(F18/E18)/D18</f>
        <v>1.981287837094111E-3</v>
      </c>
      <c r="H18" s="24">
        <v>9081.5</v>
      </c>
      <c r="I18" s="22">
        <f>(H18-E18)*D18</f>
        <v>-3.5</v>
      </c>
      <c r="J18" s="23">
        <v>-1.82</v>
      </c>
      <c r="K18" s="18">
        <f>(J18/H18)/D18</f>
        <v>-2.004074216814403E-4</v>
      </c>
      <c r="L18" s="24">
        <f t="shared" si="2"/>
        <v>-5.32</v>
      </c>
      <c r="M18" s="25">
        <f>M17+L18</f>
        <v>17978.759999999998</v>
      </c>
    </row>
  </sheetData>
  <mergeCells count="8">
    <mergeCell ref="L1:M2"/>
    <mergeCell ref="L3:M4"/>
    <mergeCell ref="L6:M7"/>
    <mergeCell ref="L8:M9"/>
    <mergeCell ref="A1:B2"/>
    <mergeCell ref="A3:B4"/>
    <mergeCell ref="A6:B7"/>
    <mergeCell ref="A8:B9"/>
  </mergeCells>
  <pageMargins left="0.7" right="0.7" top="0.75" bottom="0.75" header="0.3" footer="0.3"/>
  <ignoredErrors>
    <ignoredError sqref="I14:I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9F67-8FE5-49AA-8131-3B8E7AD8E2A9}">
  <dimension ref="A1:M18"/>
  <sheetViews>
    <sheetView workbookViewId="0">
      <selection activeCell="D6" sqref="D6"/>
    </sheetView>
  </sheetViews>
  <sheetFormatPr defaultRowHeight="15.6" x14ac:dyDescent="0.3"/>
  <cols>
    <col min="1" max="1" width="10" style="1" bestFit="1" customWidth="1"/>
    <col min="2" max="2" width="14.88671875" style="1" bestFit="1" customWidth="1"/>
    <col min="3" max="4" width="8.88671875" style="1"/>
    <col min="5" max="5" width="8.77734375" style="1" bestFit="1" customWidth="1"/>
    <col min="6" max="6" width="7.77734375" style="1" bestFit="1" customWidth="1"/>
    <col min="7" max="7" width="10.33203125" style="1" bestFit="1" customWidth="1"/>
    <col min="8" max="8" width="10.109375" style="1" customWidth="1"/>
    <col min="9" max="9" width="12.6640625" style="1" customWidth="1"/>
    <col min="10" max="10" width="11.88671875" style="1" bestFit="1" customWidth="1"/>
    <col min="11" max="11" width="14.77734375" style="1" bestFit="1" customWidth="1"/>
    <col min="12" max="12" width="10.44140625" style="1" bestFit="1" customWidth="1"/>
    <col min="13" max="13" width="11.44140625" style="1" bestFit="1" customWidth="1"/>
    <col min="14" max="16384" width="8.88671875" style="1"/>
  </cols>
  <sheetData>
    <row r="1" spans="1:13" x14ac:dyDescent="0.3">
      <c r="A1" s="3" t="s">
        <v>0</v>
      </c>
      <c r="B1" s="4"/>
      <c r="C1" s="2"/>
      <c r="D1" s="2"/>
      <c r="E1"/>
      <c r="F1"/>
      <c r="G1"/>
      <c r="L1" s="3" t="s">
        <v>1</v>
      </c>
      <c r="M1" s="4"/>
    </row>
    <row r="2" spans="1:13" ht="16.2" thickBot="1" x14ac:dyDescent="0.35">
      <c r="A2" s="5"/>
      <c r="B2" s="6"/>
      <c r="C2" s="2"/>
      <c r="D2" s="2"/>
      <c r="E2"/>
      <c r="F2"/>
      <c r="G2"/>
      <c r="L2" s="5"/>
      <c r="M2" s="6"/>
    </row>
    <row r="3" spans="1:13" x14ac:dyDescent="0.3">
      <c r="A3" s="7">
        <v>17979</v>
      </c>
      <c r="B3" s="8"/>
      <c r="C3" s="2"/>
      <c r="D3" s="2"/>
      <c r="E3"/>
      <c r="F3"/>
      <c r="G3"/>
      <c r="L3" s="7" t="s">
        <v>22</v>
      </c>
      <c r="M3" s="8"/>
    </row>
    <row r="4" spans="1:13" ht="16.2" thickBot="1" x14ac:dyDescent="0.35">
      <c r="A4" s="9"/>
      <c r="B4" s="10"/>
      <c r="C4" s="2"/>
      <c r="D4" s="2"/>
      <c r="E4"/>
      <c r="F4"/>
      <c r="G4"/>
      <c r="L4" s="9"/>
      <c r="M4" s="10"/>
    </row>
    <row r="5" spans="1:13" ht="16.2" thickBot="1" x14ac:dyDescent="0.35">
      <c r="A5" s="2"/>
      <c r="B5" s="2"/>
      <c r="C5" s="2"/>
      <c r="D5" s="2"/>
      <c r="E5"/>
      <c r="F5"/>
      <c r="G5"/>
      <c r="L5" s="2"/>
    </row>
    <row r="6" spans="1:13" x14ac:dyDescent="0.3">
      <c r="A6" s="3" t="s">
        <v>2</v>
      </c>
      <c r="B6" s="4"/>
      <c r="C6" s="2"/>
      <c r="D6" s="2"/>
      <c r="E6"/>
      <c r="F6"/>
      <c r="G6"/>
      <c r="L6" s="3" t="s">
        <v>3</v>
      </c>
      <c r="M6" s="4"/>
    </row>
    <row r="7" spans="1:13" ht="16.2" thickBot="1" x14ac:dyDescent="0.35">
      <c r="A7" s="5"/>
      <c r="B7" s="6"/>
      <c r="C7" s="2"/>
      <c r="D7" s="2"/>
      <c r="E7"/>
      <c r="F7"/>
      <c r="G7"/>
      <c r="L7" s="5"/>
      <c r="M7" s="6"/>
    </row>
    <row r="8" spans="1:13" x14ac:dyDescent="0.3">
      <c r="A8" s="7">
        <v>-2</v>
      </c>
      <c r="B8" s="8"/>
      <c r="C8" s="2"/>
      <c r="D8" s="2"/>
      <c r="E8"/>
      <c r="F8"/>
      <c r="G8"/>
      <c r="L8" s="7">
        <f>A3+A8</f>
        <v>17977</v>
      </c>
      <c r="M8" s="8"/>
    </row>
    <row r="9" spans="1:13" ht="16.2" thickBot="1" x14ac:dyDescent="0.35">
      <c r="A9" s="9"/>
      <c r="B9" s="10"/>
      <c r="C9" s="2"/>
      <c r="D9" s="2"/>
      <c r="E9"/>
      <c r="F9"/>
      <c r="G9"/>
      <c r="L9" s="9"/>
      <c r="M9" s="10"/>
    </row>
    <row r="11" spans="1:13" ht="16.2" thickBot="1" x14ac:dyDescent="0.35"/>
    <row r="12" spans="1:13" s="11" customFormat="1" ht="16.2" thickBot="1" x14ac:dyDescent="0.35">
      <c r="A12" s="33" t="s">
        <v>4</v>
      </c>
      <c r="B12" s="34" t="s">
        <v>5</v>
      </c>
      <c r="C12" s="34" t="s">
        <v>7</v>
      </c>
      <c r="D12" s="34" t="s">
        <v>13</v>
      </c>
      <c r="E12" s="34" t="s">
        <v>9</v>
      </c>
      <c r="F12" s="35" t="s">
        <v>10</v>
      </c>
      <c r="G12" s="36" t="s">
        <v>20</v>
      </c>
      <c r="H12" s="37" t="s">
        <v>11</v>
      </c>
      <c r="I12" s="34" t="s">
        <v>12</v>
      </c>
      <c r="J12" s="35" t="s">
        <v>14</v>
      </c>
      <c r="K12" s="36" t="s">
        <v>21</v>
      </c>
      <c r="L12" s="37" t="s">
        <v>15</v>
      </c>
      <c r="M12" s="38" t="s">
        <v>16</v>
      </c>
    </row>
    <row r="13" spans="1:13" x14ac:dyDescent="0.3">
      <c r="A13" s="26">
        <v>1</v>
      </c>
      <c r="B13" s="27" t="s">
        <v>22</v>
      </c>
      <c r="C13" s="27" t="s">
        <v>8</v>
      </c>
      <c r="D13" s="27">
        <v>1</v>
      </c>
      <c r="E13" s="27"/>
      <c r="F13" s="28"/>
      <c r="G13" s="29" t="e">
        <f>F13/E13</f>
        <v>#DIV/0!</v>
      </c>
      <c r="H13" s="30"/>
      <c r="I13" s="27">
        <f>H13-E13</f>
        <v>0</v>
      </c>
      <c r="J13" s="28">
        <v>-0.2</v>
      </c>
      <c r="K13" s="31" t="e">
        <f>J13/H13</f>
        <v>#DIV/0!</v>
      </c>
      <c r="L13" s="30">
        <f>I13+J13</f>
        <v>-0.2</v>
      </c>
      <c r="M13" s="32">
        <f>A3+L13</f>
        <v>17978.8</v>
      </c>
    </row>
    <row r="14" spans="1:13" x14ac:dyDescent="0.3">
      <c r="A14" s="19">
        <v>2</v>
      </c>
      <c r="B14" s="12" t="s">
        <v>23</v>
      </c>
      <c r="C14" s="12" t="s">
        <v>17</v>
      </c>
      <c r="D14" s="12">
        <v>1</v>
      </c>
      <c r="E14" s="12"/>
      <c r="F14" s="13"/>
      <c r="G14" s="15" t="e">
        <f t="shared" ref="G14:G16" si="0">F14/E14</f>
        <v>#DIV/0!</v>
      </c>
      <c r="H14" s="14"/>
      <c r="I14" s="12">
        <f>E14-H14</f>
        <v>0</v>
      </c>
      <c r="J14" s="13">
        <v>-0.2</v>
      </c>
      <c r="K14" s="17" t="e">
        <f t="shared" ref="K14:K16" si="1">J14/H14</f>
        <v>#DIV/0!</v>
      </c>
      <c r="L14" s="14">
        <f t="shared" ref="L14:L18" si="2">I14+J14</f>
        <v>-0.2</v>
      </c>
      <c r="M14" s="20">
        <f>M13+L14</f>
        <v>17978.599999999999</v>
      </c>
    </row>
    <row r="15" spans="1:13" x14ac:dyDescent="0.3">
      <c r="A15" s="19">
        <v>3</v>
      </c>
      <c r="B15" s="12" t="s">
        <v>22</v>
      </c>
      <c r="C15" s="12" t="s">
        <v>8</v>
      </c>
      <c r="D15" s="12">
        <v>1</v>
      </c>
      <c r="E15" s="12"/>
      <c r="F15" s="13"/>
      <c r="G15" s="15" t="e">
        <f t="shared" si="0"/>
        <v>#DIV/0!</v>
      </c>
      <c r="H15" s="14"/>
      <c r="I15" s="12">
        <f>H15-E15</f>
        <v>0</v>
      </c>
      <c r="J15" s="13">
        <v>-1.04</v>
      </c>
      <c r="K15" s="17" t="e">
        <f t="shared" si="1"/>
        <v>#DIV/0!</v>
      </c>
      <c r="L15" s="14">
        <f t="shared" si="2"/>
        <v>-1.04</v>
      </c>
      <c r="M15" s="20">
        <f>M14+L15</f>
        <v>17977.559999999998</v>
      </c>
    </row>
    <row r="16" spans="1:13" x14ac:dyDescent="0.3">
      <c r="A16" s="19">
        <v>4</v>
      </c>
      <c r="B16" s="12" t="s">
        <v>22</v>
      </c>
      <c r="C16" s="12" t="s">
        <v>17</v>
      </c>
      <c r="D16" s="12">
        <v>1</v>
      </c>
      <c r="E16" s="12"/>
      <c r="F16" s="13"/>
      <c r="G16" s="15" t="e">
        <f t="shared" si="0"/>
        <v>#DIV/0!</v>
      </c>
      <c r="H16" s="14"/>
      <c r="I16" s="12">
        <f>E16-H16</f>
        <v>0</v>
      </c>
      <c r="J16" s="13">
        <v>-1.04</v>
      </c>
      <c r="K16" s="17" t="e">
        <f t="shared" si="1"/>
        <v>#DIV/0!</v>
      </c>
      <c r="L16" s="14">
        <f t="shared" si="2"/>
        <v>-1.04</v>
      </c>
      <c r="M16" s="20">
        <f>M15+L16</f>
        <v>17976.519999999997</v>
      </c>
    </row>
    <row r="17" spans="1:13" x14ac:dyDescent="0.3">
      <c r="A17" s="19">
        <v>5</v>
      </c>
      <c r="B17" s="12" t="s">
        <v>22</v>
      </c>
      <c r="C17" s="12" t="s">
        <v>17</v>
      </c>
      <c r="D17" s="12">
        <v>1</v>
      </c>
      <c r="E17" s="12"/>
      <c r="F17" s="13"/>
      <c r="G17" s="15" t="e">
        <f>(F17/E17)/D17</f>
        <v>#DIV/0!</v>
      </c>
      <c r="H17" s="14"/>
      <c r="I17" s="12">
        <f>(E17-H17)*D17</f>
        <v>0</v>
      </c>
      <c r="J17" s="13">
        <v>-3.64</v>
      </c>
      <c r="K17" s="17" t="e">
        <f>(J17/H17)/D17</f>
        <v>#DIV/0!</v>
      </c>
      <c r="L17" s="14">
        <f t="shared" si="2"/>
        <v>-3.64</v>
      </c>
      <c r="M17" s="20">
        <f>M16+L17</f>
        <v>17972.879999999997</v>
      </c>
    </row>
    <row r="18" spans="1:13" ht="16.2" thickBot="1" x14ac:dyDescent="0.35">
      <c r="A18" s="21">
        <v>6</v>
      </c>
      <c r="B18" s="22" t="s">
        <v>22</v>
      </c>
      <c r="C18" s="22" t="s">
        <v>8</v>
      </c>
      <c r="D18" s="22">
        <v>1</v>
      </c>
      <c r="E18" s="22"/>
      <c r="F18" s="23"/>
      <c r="G18" s="16" t="e">
        <f>(F18/E18)/D18</f>
        <v>#DIV/0!</v>
      </c>
      <c r="H18" s="24"/>
      <c r="I18" s="22">
        <f>(H18-E18)*D18</f>
        <v>0</v>
      </c>
      <c r="J18" s="23">
        <v>-1.82</v>
      </c>
      <c r="K18" s="18" t="e">
        <f>(J18/H18)/D18</f>
        <v>#DIV/0!</v>
      </c>
      <c r="L18" s="24">
        <f t="shared" si="2"/>
        <v>-1.82</v>
      </c>
      <c r="M18" s="25">
        <f>M17+L18</f>
        <v>17971.059999999998</v>
      </c>
    </row>
  </sheetData>
  <mergeCells count="8">
    <mergeCell ref="A8:B9"/>
    <mergeCell ref="L8:M9"/>
    <mergeCell ref="A1:B2"/>
    <mergeCell ref="L1:M2"/>
    <mergeCell ref="A3:B4"/>
    <mergeCell ref="L3:M4"/>
    <mergeCell ref="A6:B7"/>
    <mergeCell ref="L6:M7"/>
  </mergeCells>
  <pageMargins left="0.7" right="0.7" top="0.75" bottom="0.75" header="0.3" footer="0.3"/>
  <ignoredErrors>
    <ignoredError sqref="I1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NFO Future</vt:lpstr>
      <vt:lpstr>MCX Future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 Plastics Pvt Ltd Nagpur</dc:creator>
  <cp:lastModifiedBy>KAM Plastics Pvt Ltd Nagpur</cp:lastModifiedBy>
  <dcterms:created xsi:type="dcterms:W3CDTF">2025-12-26T06:30:56Z</dcterms:created>
  <dcterms:modified xsi:type="dcterms:W3CDTF">2025-12-26T10:04:14Z</dcterms:modified>
</cp:coreProperties>
</file>